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ZJU\data\RT-PCR\Kcnd3-TF\20210612\"/>
    </mc:Choice>
  </mc:AlternateContent>
  <bookViews>
    <workbookView xWindow="0" yWindow="0" windowWidth="16800" windowHeight="11775" activeTab="1"/>
  </bookViews>
  <sheets>
    <sheet name="admin_2021-06-12 13-17-58_CT036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H12" i="2" l="1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11" i="2"/>
  <c r="F21" i="2"/>
  <c r="F23" i="2"/>
  <c r="F25" i="2"/>
  <c r="F26" i="2"/>
  <c r="F27" i="2"/>
  <c r="F28" i="2"/>
  <c r="F20" i="2"/>
  <c r="F12" i="2"/>
  <c r="F13" i="2"/>
  <c r="F14" i="2"/>
  <c r="F15" i="2"/>
  <c r="F16" i="2"/>
  <c r="F17" i="2"/>
  <c r="F18" i="2"/>
  <c r="F19" i="2"/>
  <c r="F11" i="2"/>
  <c r="E21" i="2"/>
  <c r="E23" i="2"/>
  <c r="E25" i="2"/>
  <c r="E26" i="2"/>
  <c r="E27" i="2"/>
  <c r="E28" i="2"/>
  <c r="E20" i="2"/>
  <c r="E12" i="2"/>
  <c r="E13" i="2"/>
  <c r="E14" i="2"/>
  <c r="E15" i="2"/>
  <c r="E16" i="2"/>
  <c r="E17" i="2"/>
  <c r="E18" i="2"/>
  <c r="E19" i="2"/>
  <c r="E11" i="2"/>
  <c r="I111" i="1" l="1"/>
  <c r="I105" i="1"/>
  <c r="I99" i="1"/>
  <c r="I96" i="1"/>
  <c r="I93" i="1"/>
  <c r="I87" i="1"/>
  <c r="I84" i="1"/>
  <c r="I81" i="1"/>
  <c r="I75" i="1"/>
  <c r="I72" i="1"/>
  <c r="I69" i="1"/>
  <c r="I66" i="1"/>
  <c r="I63" i="1"/>
  <c r="I60" i="1"/>
  <c r="I57" i="1"/>
  <c r="I54" i="1"/>
  <c r="I45" i="1"/>
  <c r="I51" i="1"/>
  <c r="I48" i="1"/>
  <c r="I42" i="1"/>
  <c r="I39" i="1"/>
  <c r="I36" i="1"/>
  <c r="I33" i="1"/>
  <c r="I30" i="1"/>
  <c r="I27" i="1"/>
  <c r="I24" i="1"/>
  <c r="I21" i="1"/>
</calcChain>
</file>

<file path=xl/sharedStrings.xml><?xml version="1.0" encoding="utf-8"?>
<sst xmlns="http://schemas.openxmlformats.org/spreadsheetml/2006/main" count="569" uniqueCount="157">
  <si>
    <t>File Name</t>
  </si>
  <si>
    <t>admin_2021-06-12 13-17-58_CT036373.pcrd</t>
  </si>
  <si>
    <t>Created By User</t>
  </si>
  <si>
    <t>admin</t>
  </si>
  <si>
    <t>Notes</t>
  </si>
  <si>
    <t>ID</t>
  </si>
  <si>
    <t>Run Started</t>
  </si>
  <si>
    <t>06/12/2021 05:18:19 UTC</t>
  </si>
  <si>
    <t>Run Ended</t>
  </si>
  <si>
    <t>06/12/2021 06:42:48 UTC</t>
  </si>
  <si>
    <t>Sample Vol</t>
  </si>
  <si>
    <t>Lid Temp</t>
  </si>
  <si>
    <t>Protocol File Name</t>
  </si>
  <si>
    <t>20210411-protocol.prcl</t>
  </si>
  <si>
    <t>Plate Setup File Name</t>
  </si>
  <si>
    <t>QuickPlate_96 wells_All Channels.pltd</t>
  </si>
  <si>
    <t>Base Serial Number</t>
  </si>
  <si>
    <t>CT036373</t>
  </si>
  <si>
    <t>Optical Head Serial Number</t>
  </si>
  <si>
    <t>785BR19632</t>
  </si>
  <si>
    <t>CFX Maestro Version</t>
  </si>
  <si>
    <t xml:space="preserve">4.1.2433.1219. </t>
  </si>
  <si>
    <t>Well group</t>
  </si>
  <si>
    <t>All Wells</t>
  </si>
  <si>
    <t>Amplification step</t>
  </si>
  <si>
    <t>Melt step</t>
  </si>
  <si>
    <t>Well</t>
  </si>
  <si>
    <t>Fluor</t>
  </si>
  <si>
    <t>Target</t>
  </si>
  <si>
    <t>Content</t>
  </si>
  <si>
    <t>Cq</t>
  </si>
  <si>
    <t>Sample</t>
  </si>
  <si>
    <t>Treatment</t>
  </si>
  <si>
    <t>Gene</t>
  </si>
  <si>
    <t>A01</t>
  </si>
  <si>
    <t>FAM</t>
  </si>
  <si>
    <t>Unkn</t>
  </si>
  <si>
    <t>Catha</t>
  </si>
  <si>
    <t>GAPDH</t>
  </si>
  <si>
    <t>A02</t>
  </si>
  <si>
    <t>A03</t>
  </si>
  <si>
    <t>A04</t>
  </si>
  <si>
    <t>Kcnd3</t>
  </si>
  <si>
    <t>A05</t>
  </si>
  <si>
    <t>A06</t>
  </si>
  <si>
    <t>NaN</t>
  </si>
  <si>
    <t>A07</t>
  </si>
  <si>
    <t>Catha + BV2</t>
  </si>
  <si>
    <t>A08</t>
  </si>
  <si>
    <t>A09</t>
  </si>
  <si>
    <t>A10</t>
  </si>
  <si>
    <t>Catha + kd + BV2</t>
  </si>
  <si>
    <t>A11</t>
  </si>
  <si>
    <t>A12</t>
  </si>
  <si>
    <t>B01</t>
  </si>
  <si>
    <t>Pdgfra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</si>
  <si>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</si>
  <si>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</si>
  <si>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</si>
  <si>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</si>
  <si>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</si>
  <si>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</si>
  <si>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</si>
  <si>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</si>
  <si>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</si>
  <si>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</si>
  <si>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</si>
  <si>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</si>
  <si>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</si>
  <si>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</si>
  <si>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</si>
  <si>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</si>
  <si>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</si>
  <si>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</si>
  <si>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</si>
  <si>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</si>
  <si>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</si>
  <si>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</si>
  <si>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</si>
  <si>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</si>
  <si>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</si>
  <si>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</si>
  <si>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</si>
  <si>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</si>
  <si>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</si>
  <si>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</si>
  <si>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Catha + ctl + BV2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</si>
  <si>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</si>
  <si>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</si>
  <si>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</si>
  <si>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</si>
  <si>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</si>
  <si>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</si>
  <si>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</si>
  <si>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</si>
  <si>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</si>
  <si>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</si>
  <si>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</si>
  <si>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</si>
  <si>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</si>
  <si>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</si>
  <si>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</si>
  <si>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</si>
  <si>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</si>
  <si>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</si>
  <si>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</si>
  <si>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</si>
  <si>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</si>
  <si>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</si>
  <si>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</si>
  <si>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</si>
  <si>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</si>
  <si>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</si>
  <si>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</si>
  <si>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</si>
  <si>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</si>
  <si>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</si>
  <si>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</si>
  <si>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</si>
  <si>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</si>
  <si>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</si>
  <si>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</si>
  <si>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</si>
  <si>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</si>
  <si>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</si>
  <si>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</si>
  <si>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</si>
  <si>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</si>
  <si>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</si>
  <si>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</si>
  <si>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</si>
  <si>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</si>
  <si>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</si>
  <si>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</si>
  <si>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</si>
  <si>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</si>
  <si>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</si>
  <si>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</si>
  <si>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</si>
  <si>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</si>
  <si>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Average</t>
    <phoneticPr fontId="18" type="noConversion"/>
  </si>
  <si>
    <t>Gene</t>
    <phoneticPr fontId="18" type="noConversion"/>
  </si>
  <si>
    <t>Group</t>
    <phoneticPr fontId="18" type="noConversion"/>
  </si>
  <si>
    <t>Ct</t>
    <phoneticPr fontId="18" type="noConversion"/>
  </si>
  <si>
    <t>dCt</t>
    <phoneticPr fontId="18" type="noConversion"/>
  </si>
  <si>
    <t>ddCt</t>
    <phoneticPr fontId="18" type="noConversion"/>
  </si>
  <si>
    <t>-ddCt</t>
    <phoneticPr fontId="18" type="noConversion"/>
  </si>
  <si>
    <t>2^-ddCt</t>
    <phoneticPr fontId="18" type="noConversion"/>
  </si>
  <si>
    <t>GAPDA</t>
    <phoneticPr fontId="18" type="noConversion"/>
  </si>
  <si>
    <t>Pdgfra</t>
    <phoneticPr fontId="18" type="noConversion"/>
  </si>
  <si>
    <t>Sample</t>
    <phoneticPr fontId="18" type="noConversion"/>
  </si>
  <si>
    <t>Kcnd3</t>
    <phoneticPr fontId="18" type="noConversion"/>
  </si>
  <si>
    <t>Catha</t>
    <phoneticPr fontId="18" type="noConversion"/>
  </si>
  <si>
    <t>Catha + BV2</t>
    <phoneticPr fontId="18" type="noConversion"/>
  </si>
  <si>
    <t>Catha + ctl + BV2</t>
    <phoneticPr fontId="18" type="noConversion"/>
  </si>
  <si>
    <t>Catha + kd + BV2</t>
    <phoneticPr fontId="18" type="noConversion"/>
  </si>
  <si>
    <t>NA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</si>
</sst>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9" fontId="0" fillId="0" borderId="0" xfId="0" applyNumberFormat="1">
      <alignment vertical="center"/>
    </xf>
    <xf numFmtId="49" fontId="19" fillId="0" borderId="0" xfId="0" applyNumberFormat="1" applyFont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"/>
  <sheetViews>
    <sheetView topLeftCell="A46" workbookViewId="0">
      <selection activeCell="E96" sqref="E96:E98"/>
    </sheetView>
  </sheetViews>
  <sheetFormatPr defaultRowHeight="14.25" x14ac:dyDescent="0.2"/>
  <cols>
    <col min="7" max="7" width="16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>
        <v>20</v>
      </c>
    </row>
    <row r="8" spans="1:2" x14ac:dyDescent="0.2">
      <c r="A8" t="s">
        <v>11</v>
      </c>
      <c r="B8">
        <v>105</v>
      </c>
    </row>
    <row r="9" spans="1:2" x14ac:dyDescent="0.2">
      <c r="A9" t="s">
        <v>12</v>
      </c>
      <c r="B9" t="s">
        <v>13</v>
      </c>
    </row>
    <row r="10" spans="1:2" x14ac:dyDescent="0.2">
      <c r="A10" t="s">
        <v>14</v>
      </c>
      <c r="B10" t="s">
        <v>15</v>
      </c>
    </row>
    <row r="11" spans="1:2" x14ac:dyDescent="0.2">
      <c r="A11" t="s">
        <v>16</v>
      </c>
      <c r="B11" t="s">
        <v>17</v>
      </c>
    </row>
    <row r="12" spans="1:2" x14ac:dyDescent="0.2">
      <c r="A12" t="s">
        <v>18</v>
      </c>
      <c r="B12" t="s">
        <v>19</v>
      </c>
    </row>
    <row r="13" spans="1:2" x14ac:dyDescent="0.2">
      <c r="A13" t="s">
        <v>20</v>
      </c>
      <c r="B13" t="s">
        <v>21</v>
      </c>
    </row>
    <row r="15" spans="1:2" x14ac:dyDescent="0.2">
      <c r="A15" t="s">
        <v>22</v>
      </c>
      <c r="B15" t="s">
        <v>23</v>
      </c>
    </row>
    <row r="16" spans="1:2" x14ac:dyDescent="0.2">
      <c r="A16" t="s">
        <v>24</v>
      </c>
      <c r="B16">
        <v>4</v>
      </c>
    </row>
    <row r="17" spans="1:9" x14ac:dyDescent="0.2">
      <c r="A17" t="s">
        <v>25</v>
      </c>
      <c r="B17">
        <v>6</v>
      </c>
    </row>
    <row r="20" spans="1:9" x14ac:dyDescent="0.2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 t="s">
        <v>140</v>
      </c>
    </row>
    <row r="21" spans="1:9" x14ac:dyDescent="0.2">
      <c r="A21" t="s">
        <v>34</v>
      </c>
      <c r="B21" t="s">
        <v>35</v>
      </c>
      <c r="D21" t="s">
        <v>36</v>
      </c>
      <c r="E21">
        <v>19.284016879999999</v>
      </c>
      <c r="F21">
        <v>1</v>
      </c>
      <c r="G21" t="s">
        <v>37</v>
      </c>
      <c r="H21" t="s">
        <v>38</v>
      </c>
      <c r="I21">
        <f>AVERAGE(E21:E23)</f>
        <v>19.464227170000001</v>
      </c>
    </row>
    <row r="22" spans="1:9" x14ac:dyDescent="0.2">
      <c r="A22" t="s">
        <v>39</v>
      </c>
      <c r="B22" t="s">
        <v>35</v>
      </c>
      <c r="D22" t="s">
        <v>36</v>
      </c>
      <c r="E22">
        <v>19.44294652</v>
      </c>
      <c r="F22">
        <v>1</v>
      </c>
      <c r="G22" t="s">
        <v>37</v>
      </c>
      <c r="H22" t="s">
        <v>38</v>
      </c>
    </row>
    <row r="23" spans="1:9" x14ac:dyDescent="0.2">
      <c r="A23" t="s">
        <v>40</v>
      </c>
      <c r="B23" t="s">
        <v>35</v>
      </c>
      <c r="D23" t="s">
        <v>36</v>
      </c>
      <c r="E23">
        <v>19.66571811</v>
      </c>
      <c r="F23">
        <v>1</v>
      </c>
      <c r="G23" t="s">
        <v>37</v>
      </c>
      <c r="H23" t="s">
        <v>38</v>
      </c>
    </row>
    <row r="24" spans="1:9" x14ac:dyDescent="0.2">
      <c r="A24" t="s">
        <v>41</v>
      </c>
      <c r="B24" t="s">
        <v>35</v>
      </c>
      <c r="D24" t="s">
        <v>36</v>
      </c>
      <c r="E24" s="1">
        <v>35.77449438</v>
      </c>
      <c r="F24">
        <v>3</v>
      </c>
      <c r="G24" t="s">
        <v>37</v>
      </c>
      <c r="H24" t="s">
        <v>42</v>
      </c>
      <c r="I24" s="1">
        <f>AVERAGE(E24:E26)</f>
        <v>37.444056795000002</v>
      </c>
    </row>
    <row r="25" spans="1:9" x14ac:dyDescent="0.2">
      <c r="A25" t="s">
        <v>43</v>
      </c>
      <c r="B25" t="s">
        <v>35</v>
      </c>
      <c r="D25" t="s">
        <v>36</v>
      </c>
      <c r="E25" s="1">
        <v>39.113619210000003</v>
      </c>
      <c r="F25">
        <v>3</v>
      </c>
      <c r="G25" t="s">
        <v>37</v>
      </c>
      <c r="H25" t="s">
        <v>42</v>
      </c>
    </row>
    <row r="26" spans="1:9" x14ac:dyDescent="0.2">
      <c r="A26" t="s">
        <v>44</v>
      </c>
      <c r="B26" t="s">
        <v>35</v>
      </c>
      <c r="D26" t="s">
        <v>36</v>
      </c>
      <c r="E26" s="1" t="s">
        <v>45</v>
      </c>
      <c r="F26">
        <v>3</v>
      </c>
      <c r="G26" t="s">
        <v>37</v>
      </c>
      <c r="H26" t="s">
        <v>42</v>
      </c>
    </row>
    <row r="27" spans="1:9" x14ac:dyDescent="0.2">
      <c r="A27" t="s">
        <v>46</v>
      </c>
      <c r="B27" t="s">
        <v>35</v>
      </c>
      <c r="D27" t="s">
        <v>36</v>
      </c>
      <c r="E27">
        <v>24.158331440000001</v>
      </c>
      <c r="F27">
        <v>3</v>
      </c>
      <c r="G27" t="s">
        <v>47</v>
      </c>
      <c r="H27" t="s">
        <v>38</v>
      </c>
      <c r="I27">
        <f>AVERAGE(E27:E29)</f>
        <v>24.311519329999999</v>
      </c>
    </row>
    <row r="28" spans="1:9" x14ac:dyDescent="0.2">
      <c r="A28" t="s">
        <v>48</v>
      </c>
      <c r="B28" t="s">
        <v>35</v>
      </c>
      <c r="D28" t="s">
        <v>36</v>
      </c>
      <c r="E28">
        <v>24.456339280000002</v>
      </c>
      <c r="F28">
        <v>3</v>
      </c>
      <c r="G28" t="s">
        <v>47</v>
      </c>
      <c r="H28" t="s">
        <v>38</v>
      </c>
    </row>
    <row r="29" spans="1:9" x14ac:dyDescent="0.2">
      <c r="A29" t="s">
        <v>49</v>
      </c>
      <c r="B29" t="s">
        <v>35</v>
      </c>
      <c r="D29" t="s">
        <v>36</v>
      </c>
      <c r="E29">
        <v>24.319887269999999</v>
      </c>
      <c r="F29">
        <v>3</v>
      </c>
      <c r="G29" t="s">
        <v>47</v>
      </c>
      <c r="H29" t="s">
        <v>38</v>
      </c>
    </row>
    <row r="30" spans="1:9" x14ac:dyDescent="0.2">
      <c r="A30" t="s">
        <v>50</v>
      </c>
      <c r="B30" t="s">
        <v>35</v>
      </c>
      <c r="D30" t="s">
        <v>36</v>
      </c>
      <c r="E30">
        <v>38.304037080000001</v>
      </c>
      <c r="F30">
        <v>1</v>
      </c>
      <c r="G30" t="s">
        <v>51</v>
      </c>
      <c r="H30" t="s">
        <v>42</v>
      </c>
      <c r="I30">
        <f>AVERAGE(E30:E32)</f>
        <v>39.107329589999999</v>
      </c>
    </row>
    <row r="31" spans="1:9" x14ac:dyDescent="0.2">
      <c r="A31" t="s">
        <v>52</v>
      </c>
      <c r="B31" t="s">
        <v>35</v>
      </c>
      <c r="D31" t="s">
        <v>36</v>
      </c>
      <c r="E31">
        <v>39.881588209999997</v>
      </c>
      <c r="F31">
        <v>1</v>
      </c>
      <c r="G31" t="s">
        <v>51</v>
      </c>
      <c r="H31" t="s">
        <v>42</v>
      </c>
    </row>
    <row r="32" spans="1:9" x14ac:dyDescent="0.2">
      <c r="A32" t="s">
        <v>53</v>
      </c>
      <c r="B32" t="s">
        <v>35</v>
      </c>
      <c r="D32" t="s">
        <v>36</v>
      </c>
      <c r="E32">
        <v>39.13636348</v>
      </c>
      <c r="F32">
        <v>1</v>
      </c>
      <c r="G32" t="s">
        <v>51</v>
      </c>
      <c r="H32" t="s">
        <v>42</v>
      </c>
    </row>
    <row r="33" spans="1:9" x14ac:dyDescent="0.2">
      <c r="A33" t="s">
        <v>54</v>
      </c>
      <c r="B33" t="s">
        <v>35</v>
      </c>
      <c r="D33" t="s">
        <v>36</v>
      </c>
      <c r="E33">
        <v>25.515969609999999</v>
      </c>
      <c r="F33">
        <v>1</v>
      </c>
      <c r="G33" t="s">
        <v>37</v>
      </c>
      <c r="H33" t="s">
        <v>55</v>
      </c>
      <c r="I33">
        <f>AVERAGE(E33:E35)</f>
        <v>25.66419286</v>
      </c>
    </row>
    <row r="34" spans="1:9" x14ac:dyDescent="0.2">
      <c r="A34" t="s">
        <v>56</v>
      </c>
      <c r="B34" t="s">
        <v>35</v>
      </c>
      <c r="D34" t="s">
        <v>36</v>
      </c>
      <c r="E34">
        <v>25.75541101</v>
      </c>
      <c r="F34">
        <v>1</v>
      </c>
      <c r="G34" t="s">
        <v>37</v>
      </c>
      <c r="H34" t="s">
        <v>55</v>
      </c>
    </row>
    <row r="35" spans="1:9" x14ac:dyDescent="0.2">
      <c r="A35" t="s">
        <v>57</v>
      </c>
      <c r="B35" t="s">
        <v>35</v>
      </c>
      <c r="D35" t="s">
        <v>36</v>
      </c>
      <c r="E35">
        <v>25.721197960000001</v>
      </c>
      <c r="F35">
        <v>1</v>
      </c>
      <c r="G35" t="s">
        <v>37</v>
      </c>
      <c r="H35" t="s">
        <v>55</v>
      </c>
    </row>
    <row r="36" spans="1:9" x14ac:dyDescent="0.2">
      <c r="A36" t="s">
        <v>58</v>
      </c>
      <c r="B36" t="s">
        <v>35</v>
      </c>
      <c r="D36" t="s">
        <v>36</v>
      </c>
      <c r="E36">
        <v>18.149596290000002</v>
      </c>
      <c r="F36">
        <v>1</v>
      </c>
      <c r="G36" t="s">
        <v>47</v>
      </c>
      <c r="H36" t="s">
        <v>38</v>
      </c>
      <c r="I36">
        <f>AVERAGE(E36:E38)</f>
        <v>18.155665753333334</v>
      </c>
    </row>
    <row r="37" spans="1:9" x14ac:dyDescent="0.2">
      <c r="A37" t="s">
        <v>59</v>
      </c>
      <c r="B37" t="s">
        <v>35</v>
      </c>
      <c r="D37" t="s">
        <v>36</v>
      </c>
      <c r="E37">
        <v>18.122620040000001</v>
      </c>
      <c r="F37">
        <v>1</v>
      </c>
      <c r="G37" t="s">
        <v>47</v>
      </c>
      <c r="H37" t="s">
        <v>38</v>
      </c>
    </row>
    <row r="38" spans="1:9" x14ac:dyDescent="0.2">
      <c r="A38" t="s">
        <v>60</v>
      </c>
      <c r="B38" t="s">
        <v>35</v>
      </c>
      <c r="D38" t="s">
        <v>36</v>
      </c>
      <c r="E38">
        <v>18.19478093</v>
      </c>
      <c r="F38">
        <v>1</v>
      </c>
      <c r="G38" t="s">
        <v>47</v>
      </c>
      <c r="H38" t="s">
        <v>38</v>
      </c>
    </row>
    <row r="39" spans="1:9" x14ac:dyDescent="0.2">
      <c r="A39" t="s">
        <v>61</v>
      </c>
      <c r="B39" t="s">
        <v>35</v>
      </c>
      <c r="D39" t="s">
        <v>36</v>
      </c>
      <c r="E39">
        <v>31.535279450000001</v>
      </c>
      <c r="F39">
        <v>3</v>
      </c>
      <c r="G39" t="s">
        <v>47</v>
      </c>
      <c r="H39" t="s">
        <v>55</v>
      </c>
      <c r="I39">
        <f>AVERAGE(E39:E41)</f>
        <v>31.507446973333334</v>
      </c>
    </row>
    <row r="40" spans="1:9" x14ac:dyDescent="0.2">
      <c r="A40" t="s">
        <v>62</v>
      </c>
      <c r="B40" t="s">
        <v>35</v>
      </c>
      <c r="D40" t="s">
        <v>36</v>
      </c>
      <c r="E40">
        <v>31.427787840000001</v>
      </c>
      <c r="F40">
        <v>3</v>
      </c>
      <c r="G40" t="s">
        <v>47</v>
      </c>
      <c r="H40" t="s">
        <v>55</v>
      </c>
    </row>
    <row r="41" spans="1:9" x14ac:dyDescent="0.2">
      <c r="A41" t="s">
        <v>63</v>
      </c>
      <c r="B41" t="s">
        <v>35</v>
      </c>
      <c r="D41" t="s">
        <v>36</v>
      </c>
      <c r="E41">
        <v>31.55927363</v>
      </c>
      <c r="F41">
        <v>3</v>
      </c>
      <c r="G41" t="s">
        <v>47</v>
      </c>
      <c r="H41" t="s">
        <v>55</v>
      </c>
    </row>
    <row r="42" spans="1:9" x14ac:dyDescent="0.2">
      <c r="A42" t="s">
        <v>64</v>
      </c>
      <c r="B42" t="s">
        <v>35</v>
      </c>
      <c r="D42" t="s">
        <v>36</v>
      </c>
      <c r="E42">
        <v>23.16822938</v>
      </c>
      <c r="F42">
        <v>2</v>
      </c>
      <c r="G42" t="s">
        <v>51</v>
      </c>
      <c r="H42" t="s">
        <v>38</v>
      </c>
      <c r="I42">
        <f>AVERAGE(E42:E44)</f>
        <v>23.20845194</v>
      </c>
    </row>
    <row r="43" spans="1:9" x14ac:dyDescent="0.2">
      <c r="A43" t="s">
        <v>65</v>
      </c>
      <c r="B43" t="s">
        <v>35</v>
      </c>
      <c r="D43" t="s">
        <v>36</v>
      </c>
      <c r="E43">
        <v>23.229463070000001</v>
      </c>
      <c r="F43">
        <v>2</v>
      </c>
      <c r="G43" t="s">
        <v>51</v>
      </c>
      <c r="H43" t="s">
        <v>38</v>
      </c>
    </row>
    <row r="44" spans="1:9" x14ac:dyDescent="0.2">
      <c r="A44" t="s">
        <v>66</v>
      </c>
      <c r="B44" t="s">
        <v>35</v>
      </c>
      <c r="D44" t="s">
        <v>36</v>
      </c>
      <c r="E44">
        <v>23.227663369999998</v>
      </c>
      <c r="F44">
        <v>2</v>
      </c>
      <c r="G44" t="s">
        <v>51</v>
      </c>
      <c r="H44" t="s">
        <v>38</v>
      </c>
    </row>
    <row r="45" spans="1:9" x14ac:dyDescent="0.2">
      <c r="A45" t="s">
        <v>67</v>
      </c>
      <c r="B45" t="s">
        <v>35</v>
      </c>
      <c r="D45" t="s">
        <v>36</v>
      </c>
      <c r="E45">
        <v>33.960350419999997</v>
      </c>
      <c r="F45">
        <v>1</v>
      </c>
      <c r="G45" t="s">
        <v>37</v>
      </c>
      <c r="H45" t="s">
        <v>42</v>
      </c>
      <c r="I45">
        <f>AVERAGE(E45,E47)</f>
        <v>34.180852684999998</v>
      </c>
    </row>
    <row r="46" spans="1:9" x14ac:dyDescent="0.2">
      <c r="A46" t="s">
        <v>68</v>
      </c>
      <c r="B46" t="s">
        <v>35</v>
      </c>
      <c r="D46" t="s">
        <v>36</v>
      </c>
      <c r="E46" s="1">
        <v>36.039925590000003</v>
      </c>
      <c r="F46">
        <v>1</v>
      </c>
      <c r="G46" t="s">
        <v>37</v>
      </c>
      <c r="H46" t="s">
        <v>42</v>
      </c>
    </row>
    <row r="47" spans="1:9" x14ac:dyDescent="0.2">
      <c r="A47" t="s">
        <v>69</v>
      </c>
      <c r="B47" t="s">
        <v>35</v>
      </c>
      <c r="D47" t="s">
        <v>36</v>
      </c>
      <c r="E47">
        <v>34.401354949999998</v>
      </c>
      <c r="F47">
        <v>1</v>
      </c>
      <c r="G47" t="s">
        <v>37</v>
      </c>
      <c r="H47" t="s">
        <v>42</v>
      </c>
    </row>
    <row r="48" spans="1:9" x14ac:dyDescent="0.2">
      <c r="A48" t="s">
        <v>70</v>
      </c>
      <c r="B48" t="s">
        <v>35</v>
      </c>
      <c r="D48" t="s">
        <v>36</v>
      </c>
      <c r="E48">
        <v>25.38253465</v>
      </c>
      <c r="F48">
        <v>1</v>
      </c>
      <c r="G48" t="s">
        <v>47</v>
      </c>
      <c r="H48" t="s">
        <v>55</v>
      </c>
      <c r="I48">
        <f>AVERAGE(E48:E50)</f>
        <v>25.356576939999997</v>
      </c>
    </row>
    <row r="49" spans="1:9" x14ac:dyDescent="0.2">
      <c r="A49" t="s">
        <v>71</v>
      </c>
      <c r="B49" t="s">
        <v>35</v>
      </c>
      <c r="D49" t="s">
        <v>36</v>
      </c>
      <c r="E49">
        <v>25.413415430000001</v>
      </c>
      <c r="F49">
        <v>1</v>
      </c>
      <c r="G49" t="s">
        <v>47</v>
      </c>
      <c r="H49" t="s">
        <v>55</v>
      </c>
    </row>
    <row r="50" spans="1:9" x14ac:dyDescent="0.2">
      <c r="A50" t="s">
        <v>72</v>
      </c>
      <c r="B50" t="s">
        <v>35</v>
      </c>
      <c r="D50" t="s">
        <v>36</v>
      </c>
      <c r="E50">
        <v>25.273780739999999</v>
      </c>
      <c r="F50">
        <v>1</v>
      </c>
      <c r="G50" t="s">
        <v>47</v>
      </c>
      <c r="H50" t="s">
        <v>55</v>
      </c>
    </row>
    <row r="51" spans="1:9" x14ac:dyDescent="0.2">
      <c r="A51" t="s">
        <v>73</v>
      </c>
      <c r="B51" t="s">
        <v>35</v>
      </c>
      <c r="D51" t="s">
        <v>36</v>
      </c>
      <c r="E51">
        <v>35.680637859999997</v>
      </c>
      <c r="F51">
        <v>3</v>
      </c>
      <c r="G51" t="s">
        <v>47</v>
      </c>
      <c r="H51" t="s">
        <v>42</v>
      </c>
      <c r="I51">
        <f>AVERAGE(E51,E53)</f>
        <v>35.620869259999999</v>
      </c>
    </row>
    <row r="52" spans="1:9" x14ac:dyDescent="0.2">
      <c r="A52" t="s">
        <v>74</v>
      </c>
      <c r="B52" t="s">
        <v>35</v>
      </c>
      <c r="D52" t="s">
        <v>36</v>
      </c>
      <c r="E52" s="1">
        <v>38.5309575</v>
      </c>
      <c r="F52">
        <v>3</v>
      </c>
      <c r="G52" t="s">
        <v>47</v>
      </c>
      <c r="H52" t="s">
        <v>42</v>
      </c>
    </row>
    <row r="53" spans="1:9" x14ac:dyDescent="0.2">
      <c r="A53" t="s">
        <v>75</v>
      </c>
      <c r="B53" t="s">
        <v>35</v>
      </c>
      <c r="D53" t="s">
        <v>36</v>
      </c>
      <c r="E53">
        <v>35.561100660000001</v>
      </c>
      <c r="F53">
        <v>3</v>
      </c>
      <c r="G53" t="s">
        <v>47</v>
      </c>
      <c r="H53" t="s">
        <v>42</v>
      </c>
    </row>
    <row r="54" spans="1:9" x14ac:dyDescent="0.2">
      <c r="A54" t="s">
        <v>76</v>
      </c>
      <c r="B54" t="s">
        <v>35</v>
      </c>
      <c r="D54" t="s">
        <v>36</v>
      </c>
      <c r="E54">
        <v>30.548725900000001</v>
      </c>
      <c r="F54">
        <v>2</v>
      </c>
      <c r="G54" t="s">
        <v>51</v>
      </c>
      <c r="H54" t="s">
        <v>55</v>
      </c>
      <c r="I54">
        <f>AVERAGE(E54:E56)</f>
        <v>30.444718269999999</v>
      </c>
    </row>
    <row r="55" spans="1:9" x14ac:dyDescent="0.2">
      <c r="A55" t="s">
        <v>77</v>
      </c>
      <c r="B55" t="s">
        <v>35</v>
      </c>
      <c r="D55" t="s">
        <v>36</v>
      </c>
      <c r="E55">
        <v>30.375043470000001</v>
      </c>
      <c r="F55">
        <v>2</v>
      </c>
      <c r="G55" t="s">
        <v>51</v>
      </c>
      <c r="H55" t="s">
        <v>55</v>
      </c>
    </row>
    <row r="56" spans="1:9" x14ac:dyDescent="0.2">
      <c r="A56" t="s">
        <v>78</v>
      </c>
      <c r="B56" t="s">
        <v>35</v>
      </c>
      <c r="D56" t="s">
        <v>36</v>
      </c>
      <c r="E56">
        <v>30.410385439999999</v>
      </c>
      <c r="F56">
        <v>2</v>
      </c>
      <c r="G56" t="s">
        <v>51</v>
      </c>
      <c r="H56" t="s">
        <v>55</v>
      </c>
    </row>
    <row r="57" spans="1:9" x14ac:dyDescent="0.2">
      <c r="A57" t="s">
        <v>79</v>
      </c>
      <c r="B57" t="s">
        <v>35</v>
      </c>
      <c r="D57" t="s">
        <v>36</v>
      </c>
      <c r="E57">
        <v>17.06672992</v>
      </c>
      <c r="F57">
        <v>2</v>
      </c>
      <c r="G57" t="s">
        <v>37</v>
      </c>
      <c r="H57" t="s">
        <v>38</v>
      </c>
      <c r="I57">
        <f>AVERAGE(E57:E59)</f>
        <v>17.154017226666667</v>
      </c>
    </row>
    <row r="58" spans="1:9" x14ac:dyDescent="0.2">
      <c r="A58" t="s">
        <v>80</v>
      </c>
      <c r="B58" t="s">
        <v>35</v>
      </c>
      <c r="D58" t="s">
        <v>36</v>
      </c>
      <c r="E58">
        <v>17.130876480000001</v>
      </c>
      <c r="F58">
        <v>2</v>
      </c>
      <c r="G58" t="s">
        <v>37</v>
      </c>
      <c r="H58" t="s">
        <v>38</v>
      </c>
    </row>
    <row r="59" spans="1:9" x14ac:dyDescent="0.2">
      <c r="A59" t="s">
        <v>81</v>
      </c>
      <c r="B59" t="s">
        <v>35</v>
      </c>
      <c r="D59" t="s">
        <v>36</v>
      </c>
      <c r="E59">
        <v>17.26444528</v>
      </c>
      <c r="F59">
        <v>2</v>
      </c>
      <c r="G59" t="s">
        <v>37</v>
      </c>
      <c r="H59" t="s">
        <v>38</v>
      </c>
    </row>
    <row r="60" spans="1:9" x14ac:dyDescent="0.2">
      <c r="A60" t="s">
        <v>82</v>
      </c>
      <c r="B60" t="s">
        <v>35</v>
      </c>
      <c r="D60" t="s">
        <v>36</v>
      </c>
      <c r="E60">
        <v>33.239062439999998</v>
      </c>
      <c r="F60">
        <v>1</v>
      </c>
      <c r="G60" t="s">
        <v>47</v>
      </c>
      <c r="H60" t="s">
        <v>42</v>
      </c>
      <c r="I60">
        <f>AVERAGE(E60:E62)</f>
        <v>32.824058209999997</v>
      </c>
    </row>
    <row r="61" spans="1:9" x14ac:dyDescent="0.2">
      <c r="A61" t="s">
        <v>83</v>
      </c>
      <c r="B61" t="s">
        <v>35</v>
      </c>
      <c r="D61" t="s">
        <v>36</v>
      </c>
      <c r="E61">
        <v>32.741287700000001</v>
      </c>
      <c r="F61">
        <v>1</v>
      </c>
      <c r="G61" t="s">
        <v>47</v>
      </c>
      <c r="H61" t="s">
        <v>42</v>
      </c>
    </row>
    <row r="62" spans="1:9" x14ac:dyDescent="0.2">
      <c r="A62" t="s">
        <v>84</v>
      </c>
      <c r="B62" t="s">
        <v>35</v>
      </c>
      <c r="D62" t="s">
        <v>36</v>
      </c>
      <c r="E62">
        <v>32.491824489999999</v>
      </c>
      <c r="F62">
        <v>1</v>
      </c>
      <c r="G62" t="s">
        <v>47</v>
      </c>
      <c r="H62" t="s">
        <v>42</v>
      </c>
    </row>
    <row r="63" spans="1:9" x14ac:dyDescent="0.2">
      <c r="A63" t="s">
        <v>85</v>
      </c>
      <c r="B63" t="s">
        <v>35</v>
      </c>
      <c r="D63" t="s">
        <v>36</v>
      </c>
      <c r="E63">
        <v>22.36467128</v>
      </c>
      <c r="F63">
        <v>1</v>
      </c>
      <c r="G63" t="s">
        <v>86</v>
      </c>
      <c r="H63" t="s">
        <v>38</v>
      </c>
      <c r="I63">
        <f>AVERAGE(E63:E65)</f>
        <v>22.445295333333334</v>
      </c>
    </row>
    <row r="64" spans="1:9" x14ac:dyDescent="0.2">
      <c r="A64" t="s">
        <v>87</v>
      </c>
      <c r="B64" t="s">
        <v>35</v>
      </c>
      <c r="D64" t="s">
        <v>36</v>
      </c>
      <c r="E64">
        <v>22.530346560000002</v>
      </c>
      <c r="F64">
        <v>1</v>
      </c>
      <c r="G64" t="s">
        <v>86</v>
      </c>
      <c r="H64" t="s">
        <v>38</v>
      </c>
    </row>
    <row r="65" spans="1:9" x14ac:dyDescent="0.2">
      <c r="A65" t="s">
        <v>88</v>
      </c>
      <c r="B65" t="s">
        <v>35</v>
      </c>
      <c r="D65" t="s">
        <v>36</v>
      </c>
      <c r="E65">
        <v>22.440868160000001</v>
      </c>
      <c r="F65">
        <v>1</v>
      </c>
      <c r="G65" t="s">
        <v>86</v>
      </c>
      <c r="H65" t="s">
        <v>38</v>
      </c>
    </row>
    <row r="66" spans="1:9" x14ac:dyDescent="0.2">
      <c r="A66" t="s">
        <v>89</v>
      </c>
      <c r="B66" t="s">
        <v>35</v>
      </c>
      <c r="D66" t="s">
        <v>36</v>
      </c>
      <c r="E66">
        <v>38.529380150000001</v>
      </c>
      <c r="F66">
        <v>2</v>
      </c>
      <c r="G66" t="s">
        <v>51</v>
      </c>
      <c r="H66" t="s">
        <v>42</v>
      </c>
      <c r="I66">
        <f>AVERAGE(E66:E68)</f>
        <v>38.6484649</v>
      </c>
    </row>
    <row r="67" spans="1:9" x14ac:dyDescent="0.2">
      <c r="A67" t="s">
        <v>90</v>
      </c>
      <c r="B67" t="s">
        <v>35</v>
      </c>
      <c r="D67" t="s">
        <v>36</v>
      </c>
      <c r="E67">
        <v>38.354451859999998</v>
      </c>
      <c r="F67">
        <v>2</v>
      </c>
      <c r="G67" t="s">
        <v>51</v>
      </c>
      <c r="H67" t="s">
        <v>42</v>
      </c>
    </row>
    <row r="68" spans="1:9" x14ac:dyDescent="0.2">
      <c r="A68" t="s">
        <v>91</v>
      </c>
      <c r="B68" t="s">
        <v>35</v>
      </c>
      <c r="D68" t="s">
        <v>36</v>
      </c>
      <c r="E68">
        <v>39.061562690000002</v>
      </c>
      <c r="F68">
        <v>2</v>
      </c>
      <c r="G68" t="s">
        <v>51</v>
      </c>
      <c r="H68" t="s">
        <v>42</v>
      </c>
    </row>
    <row r="69" spans="1:9" x14ac:dyDescent="0.2">
      <c r="A69" t="s">
        <v>92</v>
      </c>
      <c r="B69" t="s">
        <v>35</v>
      </c>
      <c r="D69" t="s">
        <v>36</v>
      </c>
      <c r="E69">
        <v>23.63715805</v>
      </c>
      <c r="F69">
        <v>2</v>
      </c>
      <c r="G69" t="s">
        <v>37</v>
      </c>
      <c r="H69" t="s">
        <v>55</v>
      </c>
      <c r="I69">
        <f>AVERAGE(E69:E71)</f>
        <v>23.600204096666669</v>
      </c>
    </row>
    <row r="70" spans="1:9" x14ac:dyDescent="0.2">
      <c r="A70" t="s">
        <v>93</v>
      </c>
      <c r="B70" t="s">
        <v>35</v>
      </c>
      <c r="D70" t="s">
        <v>36</v>
      </c>
      <c r="E70">
        <v>23.621358730000001</v>
      </c>
      <c r="F70">
        <v>2</v>
      </c>
      <c r="G70" t="s">
        <v>37</v>
      </c>
      <c r="H70" t="s">
        <v>55</v>
      </c>
    </row>
    <row r="71" spans="1:9" x14ac:dyDescent="0.2">
      <c r="A71" t="s">
        <v>94</v>
      </c>
      <c r="B71" t="s">
        <v>35</v>
      </c>
      <c r="D71" t="s">
        <v>36</v>
      </c>
      <c r="E71">
        <v>23.542095509999999</v>
      </c>
      <c r="F71">
        <v>2</v>
      </c>
      <c r="G71" t="s">
        <v>37</v>
      </c>
      <c r="H71" t="s">
        <v>55</v>
      </c>
    </row>
    <row r="72" spans="1:9" x14ac:dyDescent="0.2">
      <c r="A72" t="s">
        <v>95</v>
      </c>
      <c r="B72" t="s">
        <v>35</v>
      </c>
      <c r="D72" t="s">
        <v>36</v>
      </c>
      <c r="E72">
        <v>18.849545490000001</v>
      </c>
      <c r="F72">
        <v>2</v>
      </c>
      <c r="G72" t="s">
        <v>47</v>
      </c>
      <c r="H72" t="s">
        <v>38</v>
      </c>
      <c r="I72">
        <f>AVERAGE(E72:E74)</f>
        <v>18.926751586666668</v>
      </c>
    </row>
    <row r="73" spans="1:9" x14ac:dyDescent="0.2">
      <c r="A73" t="s">
        <v>96</v>
      </c>
      <c r="B73" t="s">
        <v>35</v>
      </c>
      <c r="D73" t="s">
        <v>36</v>
      </c>
      <c r="E73">
        <v>18.92109804</v>
      </c>
      <c r="F73">
        <v>2</v>
      </c>
      <c r="G73" t="s">
        <v>47</v>
      </c>
      <c r="H73" t="s">
        <v>38</v>
      </c>
    </row>
    <row r="74" spans="1:9" x14ac:dyDescent="0.2">
      <c r="A74" t="s">
        <v>97</v>
      </c>
      <c r="B74" t="s">
        <v>35</v>
      </c>
      <c r="D74" t="s">
        <v>36</v>
      </c>
      <c r="E74">
        <v>19.009611230000001</v>
      </c>
      <c r="F74">
        <v>2</v>
      </c>
      <c r="G74" t="s">
        <v>47</v>
      </c>
      <c r="H74" t="s">
        <v>38</v>
      </c>
    </row>
    <row r="75" spans="1:9" x14ac:dyDescent="0.2">
      <c r="A75" t="s">
        <v>98</v>
      </c>
      <c r="B75" t="s">
        <v>35</v>
      </c>
      <c r="D75" t="s">
        <v>36</v>
      </c>
      <c r="E75">
        <v>29.659914000000001</v>
      </c>
      <c r="F75">
        <v>1</v>
      </c>
      <c r="G75" t="s">
        <v>86</v>
      </c>
      <c r="H75" t="s">
        <v>55</v>
      </c>
      <c r="I75">
        <f>AVERAGE(E75:E77)</f>
        <v>29.775251426666667</v>
      </c>
    </row>
    <row r="76" spans="1:9" x14ac:dyDescent="0.2">
      <c r="A76" t="s">
        <v>99</v>
      </c>
      <c r="B76" t="s">
        <v>35</v>
      </c>
      <c r="D76" t="s">
        <v>36</v>
      </c>
      <c r="E76">
        <v>29.95773672</v>
      </c>
      <c r="F76">
        <v>1</v>
      </c>
      <c r="G76" t="s">
        <v>86</v>
      </c>
      <c r="H76" t="s">
        <v>55</v>
      </c>
    </row>
    <row r="77" spans="1:9" x14ac:dyDescent="0.2">
      <c r="A77" t="s">
        <v>100</v>
      </c>
      <c r="B77" t="s">
        <v>35</v>
      </c>
      <c r="D77" t="s">
        <v>36</v>
      </c>
      <c r="E77">
        <v>29.708103560000001</v>
      </c>
      <c r="F77">
        <v>1</v>
      </c>
      <c r="G77" t="s">
        <v>86</v>
      </c>
      <c r="H77" t="s">
        <v>55</v>
      </c>
    </row>
    <row r="78" spans="1:9" x14ac:dyDescent="0.2">
      <c r="A78" t="s">
        <v>101</v>
      </c>
      <c r="B78" t="s">
        <v>35</v>
      </c>
      <c r="D78" t="s">
        <v>36</v>
      </c>
      <c r="E78" t="s">
        <v>45</v>
      </c>
    </row>
    <row r="79" spans="1:9" x14ac:dyDescent="0.2">
      <c r="A79" t="s">
        <v>102</v>
      </c>
      <c r="B79" t="s">
        <v>35</v>
      </c>
      <c r="D79" t="s">
        <v>36</v>
      </c>
      <c r="E79" t="s">
        <v>45</v>
      </c>
    </row>
    <row r="80" spans="1:9" x14ac:dyDescent="0.2">
      <c r="A80" t="s">
        <v>103</v>
      </c>
      <c r="B80" t="s">
        <v>35</v>
      </c>
      <c r="D80" t="s">
        <v>36</v>
      </c>
      <c r="E80" t="s">
        <v>45</v>
      </c>
    </row>
    <row r="81" spans="1:9" x14ac:dyDescent="0.2">
      <c r="A81" t="s">
        <v>104</v>
      </c>
      <c r="B81" t="s">
        <v>35</v>
      </c>
      <c r="D81" t="s">
        <v>36</v>
      </c>
      <c r="E81">
        <v>35.861518949999997</v>
      </c>
      <c r="F81">
        <v>2</v>
      </c>
      <c r="G81" t="s">
        <v>37</v>
      </c>
      <c r="H81" t="s">
        <v>42</v>
      </c>
      <c r="I81">
        <f>AVERAGE(E81,E83)</f>
        <v>36.106022365000001</v>
      </c>
    </row>
    <row r="82" spans="1:9" x14ac:dyDescent="0.2">
      <c r="A82" t="s">
        <v>105</v>
      </c>
      <c r="B82" t="s">
        <v>35</v>
      </c>
      <c r="D82" t="s">
        <v>36</v>
      </c>
      <c r="E82" s="1">
        <v>38.414093250000001</v>
      </c>
      <c r="F82">
        <v>2</v>
      </c>
      <c r="G82" t="s">
        <v>37</v>
      </c>
      <c r="H82" t="s">
        <v>42</v>
      </c>
    </row>
    <row r="83" spans="1:9" x14ac:dyDescent="0.2">
      <c r="A83" t="s">
        <v>106</v>
      </c>
      <c r="B83" t="s">
        <v>35</v>
      </c>
      <c r="D83" t="s">
        <v>36</v>
      </c>
      <c r="E83">
        <v>36.350525779999998</v>
      </c>
      <c r="F83">
        <v>2</v>
      </c>
      <c r="G83" t="s">
        <v>37</v>
      </c>
      <c r="H83" t="s">
        <v>42</v>
      </c>
    </row>
    <row r="84" spans="1:9" x14ac:dyDescent="0.2">
      <c r="A84" t="s">
        <v>107</v>
      </c>
      <c r="B84" t="s">
        <v>35</v>
      </c>
      <c r="D84" t="s">
        <v>36</v>
      </c>
      <c r="E84">
        <v>27.03441282</v>
      </c>
      <c r="F84">
        <v>2</v>
      </c>
      <c r="G84" t="s">
        <v>47</v>
      </c>
      <c r="H84" t="s">
        <v>55</v>
      </c>
      <c r="I84">
        <f>AVERAGE(E84:E86)</f>
        <v>26.986146016666666</v>
      </c>
    </row>
    <row r="85" spans="1:9" x14ac:dyDescent="0.2">
      <c r="A85" t="s">
        <v>108</v>
      </c>
      <c r="B85" t="s">
        <v>35</v>
      </c>
      <c r="D85" t="s">
        <v>36</v>
      </c>
      <c r="E85">
        <v>27.01805044</v>
      </c>
      <c r="F85">
        <v>2</v>
      </c>
      <c r="G85" t="s">
        <v>47</v>
      </c>
      <c r="H85" t="s">
        <v>55</v>
      </c>
    </row>
    <row r="86" spans="1:9" x14ac:dyDescent="0.2">
      <c r="A86" t="s">
        <v>109</v>
      </c>
      <c r="B86" t="s">
        <v>35</v>
      </c>
      <c r="D86" t="s">
        <v>36</v>
      </c>
      <c r="E86">
        <v>26.905974789999998</v>
      </c>
      <c r="F86">
        <v>2</v>
      </c>
      <c r="G86" t="s">
        <v>47</v>
      </c>
      <c r="H86" t="s">
        <v>55</v>
      </c>
    </row>
    <row r="87" spans="1:9" x14ac:dyDescent="0.2">
      <c r="A87" t="s">
        <v>110</v>
      </c>
      <c r="B87" t="s">
        <v>35</v>
      </c>
      <c r="D87" t="s">
        <v>36</v>
      </c>
      <c r="E87">
        <v>35.19007663</v>
      </c>
      <c r="F87">
        <v>1</v>
      </c>
      <c r="G87" t="s">
        <v>86</v>
      </c>
      <c r="H87" t="s">
        <v>42</v>
      </c>
      <c r="I87">
        <f>AVERAGE(E87:E89)</f>
        <v>34.234553156666671</v>
      </c>
    </row>
    <row r="88" spans="1:9" x14ac:dyDescent="0.2">
      <c r="A88" t="s">
        <v>111</v>
      </c>
      <c r="B88" t="s">
        <v>35</v>
      </c>
      <c r="D88" t="s">
        <v>36</v>
      </c>
      <c r="E88">
        <v>33.493123269999998</v>
      </c>
      <c r="F88">
        <v>1</v>
      </c>
      <c r="G88" t="s">
        <v>86</v>
      </c>
      <c r="H88" t="s">
        <v>42</v>
      </c>
    </row>
    <row r="89" spans="1:9" x14ac:dyDescent="0.2">
      <c r="A89" t="s">
        <v>112</v>
      </c>
      <c r="B89" t="s">
        <v>35</v>
      </c>
      <c r="D89" t="s">
        <v>36</v>
      </c>
      <c r="E89">
        <v>34.02045957</v>
      </c>
      <c r="F89">
        <v>1</v>
      </c>
      <c r="G89" t="s">
        <v>86</v>
      </c>
      <c r="H89" t="s">
        <v>42</v>
      </c>
    </row>
    <row r="90" spans="1:9" x14ac:dyDescent="0.2">
      <c r="A90" t="s">
        <v>113</v>
      </c>
      <c r="B90" t="s">
        <v>35</v>
      </c>
      <c r="D90" t="s">
        <v>36</v>
      </c>
      <c r="E90" t="s">
        <v>45</v>
      </c>
    </row>
    <row r="91" spans="1:9" x14ac:dyDescent="0.2">
      <c r="A91" t="s">
        <v>114</v>
      </c>
      <c r="B91" t="s">
        <v>35</v>
      </c>
      <c r="D91" t="s">
        <v>36</v>
      </c>
      <c r="E91" t="s">
        <v>45</v>
      </c>
    </row>
    <row r="92" spans="1:9" x14ac:dyDescent="0.2">
      <c r="A92" t="s">
        <v>115</v>
      </c>
      <c r="B92" t="s">
        <v>35</v>
      </c>
      <c r="D92" t="s">
        <v>36</v>
      </c>
      <c r="E92" t="s">
        <v>45</v>
      </c>
    </row>
    <row r="93" spans="1:9" x14ac:dyDescent="0.2">
      <c r="A93" t="s">
        <v>116</v>
      </c>
      <c r="B93" t="s">
        <v>35</v>
      </c>
      <c r="D93" t="s">
        <v>36</v>
      </c>
      <c r="E93">
        <v>19.122398889999999</v>
      </c>
      <c r="F93">
        <v>3</v>
      </c>
      <c r="G93" t="s">
        <v>37</v>
      </c>
      <c r="H93" t="s">
        <v>38</v>
      </c>
      <c r="I93">
        <f>AVERAGE(E93:E95)</f>
        <v>19.071819676666667</v>
      </c>
    </row>
    <row r="94" spans="1:9" x14ac:dyDescent="0.2">
      <c r="A94" t="s">
        <v>117</v>
      </c>
      <c r="B94" t="s">
        <v>35</v>
      </c>
      <c r="D94" t="s">
        <v>36</v>
      </c>
      <c r="E94">
        <v>19.12310918</v>
      </c>
      <c r="F94">
        <v>3</v>
      </c>
      <c r="G94" t="s">
        <v>37</v>
      </c>
      <c r="H94" t="s">
        <v>38</v>
      </c>
    </row>
    <row r="95" spans="1:9" x14ac:dyDescent="0.2">
      <c r="A95" t="s">
        <v>118</v>
      </c>
      <c r="B95" t="s">
        <v>35</v>
      </c>
      <c r="D95" t="s">
        <v>36</v>
      </c>
      <c r="E95">
        <v>18.969950959999998</v>
      </c>
      <c r="F95">
        <v>3</v>
      </c>
      <c r="G95" t="s">
        <v>37</v>
      </c>
      <c r="H95" t="s">
        <v>38</v>
      </c>
    </row>
    <row r="96" spans="1:9" x14ac:dyDescent="0.2">
      <c r="A96" t="s">
        <v>119</v>
      </c>
      <c r="B96" t="s">
        <v>35</v>
      </c>
      <c r="D96" t="s">
        <v>36</v>
      </c>
      <c r="E96" s="1">
        <v>35.999908730000001</v>
      </c>
      <c r="F96">
        <v>2</v>
      </c>
      <c r="G96" t="s">
        <v>47</v>
      </c>
      <c r="H96" t="s">
        <v>42</v>
      </c>
      <c r="I96">
        <f>AVERAGE(E96:E98)</f>
        <v>37.837918873333336</v>
      </c>
    </row>
    <row r="97" spans="1:9" x14ac:dyDescent="0.2">
      <c r="A97" t="s">
        <v>120</v>
      </c>
      <c r="B97" t="s">
        <v>35</v>
      </c>
      <c r="D97" t="s">
        <v>36</v>
      </c>
      <c r="E97" s="1">
        <v>38.439607819999999</v>
      </c>
      <c r="F97">
        <v>2</v>
      </c>
      <c r="G97" t="s">
        <v>47</v>
      </c>
      <c r="H97" t="s">
        <v>42</v>
      </c>
    </row>
    <row r="98" spans="1:9" x14ac:dyDescent="0.2">
      <c r="A98" t="s">
        <v>121</v>
      </c>
      <c r="B98" t="s">
        <v>35</v>
      </c>
      <c r="D98" t="s">
        <v>36</v>
      </c>
      <c r="E98" s="1">
        <v>39.074240070000002</v>
      </c>
      <c r="F98">
        <v>2</v>
      </c>
      <c r="G98" t="s">
        <v>47</v>
      </c>
      <c r="H98" t="s">
        <v>42</v>
      </c>
    </row>
    <row r="99" spans="1:9" x14ac:dyDescent="0.2">
      <c r="A99" t="s">
        <v>122</v>
      </c>
      <c r="B99" t="s">
        <v>35</v>
      </c>
      <c r="D99" t="s">
        <v>36</v>
      </c>
      <c r="E99">
        <v>25.105601029999999</v>
      </c>
      <c r="F99">
        <v>1</v>
      </c>
      <c r="G99" t="s">
        <v>51</v>
      </c>
      <c r="H99" t="s">
        <v>38</v>
      </c>
      <c r="I99">
        <f>AVERAGE(E99:E101)</f>
        <v>25.12377115</v>
      </c>
    </row>
    <row r="100" spans="1:9" x14ac:dyDescent="0.2">
      <c r="A100" t="s">
        <v>123</v>
      </c>
      <c r="B100" t="s">
        <v>35</v>
      </c>
      <c r="D100" t="s">
        <v>36</v>
      </c>
      <c r="E100">
        <v>25.10496346</v>
      </c>
      <c r="F100">
        <v>1</v>
      </c>
      <c r="G100" t="s">
        <v>51</v>
      </c>
      <c r="H100" t="s">
        <v>38</v>
      </c>
    </row>
    <row r="101" spans="1:9" x14ac:dyDescent="0.2">
      <c r="A101" t="s">
        <v>124</v>
      </c>
      <c r="B101" t="s">
        <v>35</v>
      </c>
      <c r="D101" t="s">
        <v>36</v>
      </c>
      <c r="E101">
        <v>25.160748959999999</v>
      </c>
      <c r="F101">
        <v>1</v>
      </c>
      <c r="G101" t="s">
        <v>51</v>
      </c>
      <c r="H101" t="s">
        <v>38</v>
      </c>
    </row>
    <row r="102" spans="1:9" x14ac:dyDescent="0.2">
      <c r="A102" t="s">
        <v>125</v>
      </c>
      <c r="B102" t="s">
        <v>35</v>
      </c>
      <c r="D102" t="s">
        <v>36</v>
      </c>
      <c r="E102" t="s">
        <v>45</v>
      </c>
    </row>
    <row r="103" spans="1:9" x14ac:dyDescent="0.2">
      <c r="A103" t="s">
        <v>126</v>
      </c>
      <c r="B103" t="s">
        <v>35</v>
      </c>
      <c r="D103" t="s">
        <v>36</v>
      </c>
      <c r="E103" t="s">
        <v>45</v>
      </c>
    </row>
    <row r="104" spans="1:9" x14ac:dyDescent="0.2">
      <c r="A104" t="s">
        <v>127</v>
      </c>
      <c r="B104" t="s">
        <v>35</v>
      </c>
      <c r="D104" t="s">
        <v>36</v>
      </c>
      <c r="E104" t="s">
        <v>45</v>
      </c>
    </row>
    <row r="105" spans="1:9" x14ac:dyDescent="0.2">
      <c r="A105" t="s">
        <v>128</v>
      </c>
      <c r="B105" t="s">
        <v>35</v>
      </c>
      <c r="D105" t="s">
        <v>36</v>
      </c>
      <c r="E105">
        <v>24.89463598</v>
      </c>
      <c r="F105">
        <v>3</v>
      </c>
      <c r="G105" t="s">
        <v>37</v>
      </c>
      <c r="H105" t="s">
        <v>55</v>
      </c>
      <c r="I105">
        <f>AVERAGE(E105:E107)</f>
        <v>24.929142896666665</v>
      </c>
    </row>
    <row r="106" spans="1:9" x14ac:dyDescent="0.2">
      <c r="A106" t="s">
        <v>129</v>
      </c>
      <c r="B106" t="s">
        <v>35</v>
      </c>
      <c r="D106" t="s">
        <v>36</v>
      </c>
      <c r="E106">
        <v>24.92689605</v>
      </c>
      <c r="F106">
        <v>3</v>
      </c>
      <c r="G106" t="s">
        <v>37</v>
      </c>
      <c r="H106" t="s">
        <v>55</v>
      </c>
    </row>
    <row r="107" spans="1:9" x14ac:dyDescent="0.2">
      <c r="A107" t="s">
        <v>130</v>
      </c>
      <c r="B107" t="s">
        <v>35</v>
      </c>
      <c r="D107" t="s">
        <v>36</v>
      </c>
      <c r="E107">
        <v>24.965896659999999</v>
      </c>
      <c r="F107">
        <v>3</v>
      </c>
      <c r="G107" t="s">
        <v>37</v>
      </c>
      <c r="H107" t="s">
        <v>55</v>
      </c>
    </row>
    <row r="108" spans="1:9" x14ac:dyDescent="0.2">
      <c r="A108" t="s">
        <v>131</v>
      </c>
      <c r="B108" t="s">
        <v>35</v>
      </c>
      <c r="D108" t="s">
        <v>36</v>
      </c>
      <c r="E108" t="s">
        <v>45</v>
      </c>
    </row>
    <row r="109" spans="1:9" x14ac:dyDescent="0.2">
      <c r="A109" t="s">
        <v>132</v>
      </c>
      <c r="B109" t="s">
        <v>35</v>
      </c>
      <c r="D109" t="s">
        <v>36</v>
      </c>
      <c r="E109" t="s">
        <v>45</v>
      </c>
    </row>
    <row r="110" spans="1:9" x14ac:dyDescent="0.2">
      <c r="A110" t="s">
        <v>133</v>
      </c>
      <c r="B110" t="s">
        <v>35</v>
      </c>
      <c r="D110" t="s">
        <v>36</v>
      </c>
      <c r="E110" t="s">
        <v>45</v>
      </c>
    </row>
    <row r="111" spans="1:9" x14ac:dyDescent="0.2">
      <c r="A111" t="s">
        <v>134</v>
      </c>
      <c r="B111" t="s">
        <v>35</v>
      </c>
      <c r="D111" t="s">
        <v>36</v>
      </c>
      <c r="E111">
        <v>32.814886999999999</v>
      </c>
      <c r="F111">
        <v>1</v>
      </c>
      <c r="G111" t="s">
        <v>51</v>
      </c>
      <c r="H111" t="s">
        <v>55</v>
      </c>
      <c r="I111">
        <f>AVERAGE(E111:E113)</f>
        <v>32.740520866666664</v>
      </c>
    </row>
    <row r="112" spans="1:9" x14ac:dyDescent="0.2">
      <c r="A112" t="s">
        <v>135</v>
      </c>
      <c r="B112" t="s">
        <v>35</v>
      </c>
      <c r="D112" t="s">
        <v>36</v>
      </c>
      <c r="E112">
        <v>32.749839659999999</v>
      </c>
      <c r="F112">
        <v>1</v>
      </c>
      <c r="G112" t="s">
        <v>51</v>
      </c>
      <c r="H112" t="s">
        <v>55</v>
      </c>
    </row>
    <row r="113" spans="1:8" x14ac:dyDescent="0.2">
      <c r="A113" t="s">
        <v>136</v>
      </c>
      <c r="B113" t="s">
        <v>35</v>
      </c>
      <c r="D113" t="s">
        <v>36</v>
      </c>
      <c r="E113">
        <v>32.656835940000001</v>
      </c>
      <c r="F113">
        <v>1</v>
      </c>
      <c r="G113" t="s">
        <v>51</v>
      </c>
      <c r="H113" t="s">
        <v>55</v>
      </c>
    </row>
    <row r="114" spans="1:8" x14ac:dyDescent="0.2">
      <c r="A114" t="s">
        <v>137</v>
      </c>
      <c r="B114" t="s">
        <v>35</v>
      </c>
      <c r="D114" t="s">
        <v>36</v>
      </c>
      <c r="E114" t="s">
        <v>45</v>
      </c>
    </row>
    <row r="115" spans="1:8" x14ac:dyDescent="0.2">
      <c r="A115" t="s">
        <v>138</v>
      </c>
      <c r="B115" t="s">
        <v>35</v>
      </c>
      <c r="D115" t="s">
        <v>36</v>
      </c>
      <c r="E115" t="s">
        <v>45</v>
      </c>
    </row>
    <row r="116" spans="1:8" x14ac:dyDescent="0.2">
      <c r="A116" t="s">
        <v>139</v>
      </c>
      <c r="B116" t="s">
        <v>35</v>
      </c>
      <c r="D116" t="s">
        <v>36</v>
      </c>
      <c r="E116" t="s">
        <v>45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I19" sqref="I19"/>
    </sheetView>
  </sheetViews>
  <sheetFormatPr defaultRowHeight="14.25" x14ac:dyDescent="0.2"/>
  <cols>
    <col min="3" max="3" width="16.5" bestFit="1" customWidth="1"/>
  </cols>
  <sheetData>
    <row r="1" spans="1:9" x14ac:dyDescent="0.2">
      <c r="A1" s="3" t="s">
        <v>141</v>
      </c>
      <c r="B1" s="3" t="s">
        <v>150</v>
      </c>
      <c r="C1" s="3" t="s">
        <v>142</v>
      </c>
      <c r="D1" s="3" t="s">
        <v>143</v>
      </c>
      <c r="E1" s="3" t="s">
        <v>144</v>
      </c>
      <c r="F1" s="3" t="s">
        <v>145</v>
      </c>
      <c r="G1" s="3" t="s">
        <v>146</v>
      </c>
      <c r="H1" s="3" t="s">
        <v>147</v>
      </c>
      <c r="I1" s="2"/>
    </row>
    <row r="2" spans="1:9" x14ac:dyDescent="0.2">
      <c r="A2" s="1" t="s">
        <v>148</v>
      </c>
      <c r="B2">
        <v>1</v>
      </c>
      <c r="C2" t="s">
        <v>152</v>
      </c>
      <c r="D2">
        <v>19.464227170000001</v>
      </c>
    </row>
    <row r="3" spans="1:9" x14ac:dyDescent="0.2">
      <c r="A3" s="1" t="s">
        <v>148</v>
      </c>
      <c r="B3">
        <v>2</v>
      </c>
      <c r="C3" t="s">
        <v>152</v>
      </c>
      <c r="D3">
        <v>17.154017226666667</v>
      </c>
    </row>
    <row r="4" spans="1:9" x14ac:dyDescent="0.2">
      <c r="A4" s="1" t="s">
        <v>148</v>
      </c>
      <c r="B4">
        <v>3</v>
      </c>
      <c r="C4" t="s">
        <v>152</v>
      </c>
      <c r="D4">
        <v>19.071819676666667</v>
      </c>
    </row>
    <row r="5" spans="1:9" x14ac:dyDescent="0.2">
      <c r="A5" s="1" t="s">
        <v>148</v>
      </c>
      <c r="B5">
        <v>1</v>
      </c>
      <c r="C5" t="s">
        <v>153</v>
      </c>
      <c r="D5">
        <v>18.155665753333334</v>
      </c>
    </row>
    <row r="6" spans="1:9" x14ac:dyDescent="0.2">
      <c r="A6" s="1" t="s">
        <v>148</v>
      </c>
      <c r="B6">
        <v>2</v>
      </c>
      <c r="C6" t="s">
        <v>153</v>
      </c>
      <c r="D6">
        <v>18.926751586666668</v>
      </c>
    </row>
    <row r="7" spans="1:9" x14ac:dyDescent="0.2">
      <c r="A7" s="1" t="s">
        <v>148</v>
      </c>
      <c r="B7">
        <v>3</v>
      </c>
      <c r="C7" t="s">
        <v>153</v>
      </c>
      <c r="D7">
        <v>24.311519329999999</v>
      </c>
    </row>
    <row r="8" spans="1:9" x14ac:dyDescent="0.2">
      <c r="A8" s="1" t="s">
        <v>148</v>
      </c>
      <c r="B8">
        <v>1</v>
      </c>
      <c r="C8" t="s">
        <v>154</v>
      </c>
      <c r="D8">
        <v>22.445295333333334</v>
      </c>
    </row>
    <row r="9" spans="1:9" x14ac:dyDescent="0.2">
      <c r="A9" s="1" t="s">
        <v>148</v>
      </c>
      <c r="B9">
        <v>1</v>
      </c>
      <c r="C9" t="s">
        <v>155</v>
      </c>
      <c r="D9">
        <v>25.12377115</v>
      </c>
    </row>
    <row r="10" spans="1:9" x14ac:dyDescent="0.2">
      <c r="A10" s="1" t="s">
        <v>148</v>
      </c>
      <c r="B10">
        <v>2</v>
      </c>
      <c r="C10" t="s">
        <v>155</v>
      </c>
      <c r="D10">
        <v>23.20845194</v>
      </c>
    </row>
    <row r="11" spans="1:9" x14ac:dyDescent="0.2">
      <c r="A11" s="4" t="s">
        <v>149</v>
      </c>
      <c r="B11">
        <v>1</v>
      </c>
      <c r="C11" t="s">
        <v>152</v>
      </c>
      <c r="D11">
        <v>25.66419286</v>
      </c>
      <c r="E11">
        <f>D11-D2</f>
        <v>6.1999656899999991</v>
      </c>
      <c r="F11">
        <f>E11-$E$11</f>
        <v>0</v>
      </c>
      <c r="G11">
        <f>-F11</f>
        <v>0</v>
      </c>
      <c r="H11">
        <f>POWER(G11,2)</f>
        <v>0</v>
      </c>
    </row>
    <row r="12" spans="1:9" x14ac:dyDescent="0.2">
      <c r="A12" s="4" t="s">
        <v>149</v>
      </c>
      <c r="B12">
        <v>2</v>
      </c>
      <c r="C12" t="s">
        <v>152</v>
      </c>
      <c r="D12">
        <v>23.600204096666669</v>
      </c>
      <c r="E12">
        <f t="shared" ref="E12:E19" si="0">D12-D3</f>
        <v>6.4461868700000018</v>
      </c>
      <c r="F12">
        <f t="shared" ref="F12:F19" si="1">E12-$E$11</f>
        <v>0.2462211800000027</v>
      </c>
      <c r="G12">
        <f t="shared" ref="G12:G28" si="2">-F12</f>
        <v>-0.2462211800000027</v>
      </c>
      <c r="H12">
        <f t="shared" ref="H12:H28" si="3">POWER(G12,2)</f>
        <v>6.0624869480593729E-2</v>
      </c>
    </row>
    <row r="13" spans="1:9" x14ac:dyDescent="0.2">
      <c r="A13" s="4" t="s">
        <v>149</v>
      </c>
      <c r="B13">
        <v>3</v>
      </c>
      <c r="C13" t="s">
        <v>152</v>
      </c>
      <c r="D13">
        <v>24.929142896666665</v>
      </c>
      <c r="E13">
        <f t="shared" si="0"/>
        <v>5.8573232199999978</v>
      </c>
      <c r="F13">
        <f t="shared" si="1"/>
        <v>-0.34264247000000125</v>
      </c>
      <c r="G13">
        <f t="shared" si="2"/>
        <v>0.34264247000000125</v>
      </c>
      <c r="H13">
        <f t="shared" si="3"/>
        <v>0.11740386224770176</v>
      </c>
    </row>
    <row r="14" spans="1:9" x14ac:dyDescent="0.2">
      <c r="A14" s="4" t="s">
        <v>149</v>
      </c>
      <c r="B14">
        <v>1</v>
      </c>
      <c r="C14" t="s">
        <v>153</v>
      </c>
      <c r="D14">
        <v>25.356576939999997</v>
      </c>
      <c r="E14">
        <f t="shared" si="0"/>
        <v>7.2009111866666622</v>
      </c>
      <c r="F14">
        <f t="shared" si="1"/>
        <v>1.0009454966666631</v>
      </c>
      <c r="G14">
        <f t="shared" si="2"/>
        <v>-1.0009454966666631</v>
      </c>
      <c r="H14">
        <f t="shared" si="3"/>
        <v>1.0018918872972729</v>
      </c>
    </row>
    <row r="15" spans="1:9" x14ac:dyDescent="0.2">
      <c r="A15" s="4" t="s">
        <v>149</v>
      </c>
      <c r="B15">
        <v>2</v>
      </c>
      <c r="C15" t="s">
        <v>153</v>
      </c>
      <c r="D15">
        <v>26.986146016666666</v>
      </c>
      <c r="E15">
        <f t="shared" si="0"/>
        <v>8.0593944299999976</v>
      </c>
      <c r="F15">
        <f t="shared" si="1"/>
        <v>1.8594287399999985</v>
      </c>
      <c r="G15">
        <f t="shared" si="2"/>
        <v>-1.8594287399999985</v>
      </c>
      <c r="H15">
        <f t="shared" si="3"/>
        <v>3.4574752391379819</v>
      </c>
    </row>
    <row r="16" spans="1:9" x14ac:dyDescent="0.2">
      <c r="A16" s="4" t="s">
        <v>149</v>
      </c>
      <c r="B16">
        <v>3</v>
      </c>
      <c r="C16" t="s">
        <v>153</v>
      </c>
      <c r="D16">
        <v>31.507446973333334</v>
      </c>
      <c r="E16">
        <f t="shared" si="0"/>
        <v>7.1959276433333343</v>
      </c>
      <c r="F16">
        <f t="shared" si="1"/>
        <v>0.99596195333333526</v>
      </c>
      <c r="G16">
        <f t="shared" si="2"/>
        <v>-0.99596195333333526</v>
      </c>
      <c r="H16">
        <f t="shared" si="3"/>
        <v>0.99194021248755271</v>
      </c>
    </row>
    <row r="17" spans="1:8" x14ac:dyDescent="0.2">
      <c r="A17" s="4" t="s">
        <v>149</v>
      </c>
      <c r="B17">
        <v>1</v>
      </c>
      <c r="C17" t="s">
        <v>154</v>
      </c>
      <c r="D17">
        <v>29.775251426666667</v>
      </c>
      <c r="E17">
        <f t="shared" si="0"/>
        <v>7.3299560933333332</v>
      </c>
      <c r="F17">
        <f t="shared" si="1"/>
        <v>1.1299904033333341</v>
      </c>
      <c r="G17">
        <f t="shared" si="2"/>
        <v>-1.1299904033333341</v>
      </c>
      <c r="H17">
        <f t="shared" si="3"/>
        <v>1.2768783116254312</v>
      </c>
    </row>
    <row r="18" spans="1:8" x14ac:dyDescent="0.2">
      <c r="A18" s="4" t="s">
        <v>149</v>
      </c>
      <c r="B18">
        <v>1</v>
      </c>
      <c r="C18" t="s">
        <v>155</v>
      </c>
      <c r="D18">
        <v>32.740520866666664</v>
      </c>
      <c r="E18">
        <f t="shared" si="0"/>
        <v>7.6167497166666642</v>
      </c>
      <c r="F18">
        <f t="shared" si="1"/>
        <v>1.4167840266666651</v>
      </c>
      <c r="G18">
        <f t="shared" si="2"/>
        <v>-1.4167840266666651</v>
      </c>
      <c r="H18">
        <f t="shared" si="3"/>
        <v>2.0072769782178099</v>
      </c>
    </row>
    <row r="19" spans="1:8" x14ac:dyDescent="0.2">
      <c r="A19" s="4" t="s">
        <v>149</v>
      </c>
      <c r="B19">
        <v>2</v>
      </c>
      <c r="C19" t="s">
        <v>155</v>
      </c>
      <c r="D19">
        <v>30.444718269999999</v>
      </c>
      <c r="E19">
        <f t="shared" si="0"/>
        <v>7.2362663299999994</v>
      </c>
      <c r="F19">
        <f t="shared" si="1"/>
        <v>1.0363006400000003</v>
      </c>
      <c r="G19">
        <f t="shared" si="2"/>
        <v>-1.0363006400000003</v>
      </c>
      <c r="H19">
        <f t="shared" si="3"/>
        <v>1.0739190164644103</v>
      </c>
    </row>
    <row r="20" spans="1:8" x14ac:dyDescent="0.2">
      <c r="A20" s="5" t="s">
        <v>151</v>
      </c>
      <c r="B20">
        <v>1</v>
      </c>
      <c r="C20" t="s">
        <v>152</v>
      </c>
      <c r="D20">
        <v>34.180852684999998</v>
      </c>
      <c r="E20">
        <f>D20-D2</f>
        <v>14.716625514999997</v>
      </c>
      <c r="F20">
        <f>E20-$E$20</f>
        <v>0</v>
      </c>
      <c r="G20">
        <f t="shared" si="2"/>
        <v>0</v>
      </c>
      <c r="H20">
        <f t="shared" si="3"/>
        <v>0</v>
      </c>
    </row>
    <row r="21" spans="1:8" x14ac:dyDescent="0.2">
      <c r="A21" s="5" t="s">
        <v>151</v>
      </c>
      <c r="B21">
        <v>2</v>
      </c>
      <c r="C21" t="s">
        <v>152</v>
      </c>
      <c r="D21">
        <v>36.106022365000001</v>
      </c>
      <c r="E21">
        <f t="shared" ref="E21:E28" si="4">D21-D3</f>
        <v>18.952005138333334</v>
      </c>
      <c r="F21">
        <f t="shared" ref="F21:F28" si="5">E21-$E$20</f>
        <v>4.235379623333337</v>
      </c>
      <c r="G21">
        <f t="shared" si="2"/>
        <v>-4.235379623333337</v>
      </c>
      <c r="H21">
        <f t="shared" si="3"/>
        <v>17.938440553747238</v>
      </c>
    </row>
    <row r="22" spans="1:8" x14ac:dyDescent="0.2">
      <c r="A22" s="5" t="s">
        <v>151</v>
      </c>
      <c r="B22">
        <v>3</v>
      </c>
      <c r="C22" t="s">
        <v>152</v>
      </c>
      <c r="D22" t="s">
        <v>156</v>
      </c>
      <c r="E22" t="s">
        <v>156</v>
      </c>
      <c r="F22" t="s">
        <v>156</v>
      </c>
      <c r="G22" t="e">
        <f t="shared" si="2"/>
        <v>#VALUE!</v>
      </c>
      <c r="H22" t="e">
        <f t="shared" si="3"/>
        <v>#VALUE!</v>
      </c>
    </row>
    <row r="23" spans="1:8" x14ac:dyDescent="0.2">
      <c r="A23" s="5" t="s">
        <v>151</v>
      </c>
      <c r="B23">
        <v>1</v>
      </c>
      <c r="C23" t="s">
        <v>153</v>
      </c>
      <c r="D23">
        <v>32.824058209999997</v>
      </c>
      <c r="E23">
        <f t="shared" si="4"/>
        <v>14.668392456666663</v>
      </c>
      <c r="F23">
        <f t="shared" si="5"/>
        <v>-4.8233058333334355E-2</v>
      </c>
      <c r="G23">
        <f t="shared" si="2"/>
        <v>4.8233058333334355E-2</v>
      </c>
      <c r="H23">
        <f t="shared" si="3"/>
        <v>2.3264279161868346E-3</v>
      </c>
    </row>
    <row r="24" spans="1:8" x14ac:dyDescent="0.2">
      <c r="A24" s="5" t="s">
        <v>151</v>
      </c>
      <c r="B24">
        <v>2</v>
      </c>
      <c r="C24" t="s">
        <v>153</v>
      </c>
      <c r="D24" t="s">
        <v>156</v>
      </c>
      <c r="E24" t="s">
        <v>156</v>
      </c>
      <c r="F24" t="s">
        <v>156</v>
      </c>
      <c r="G24" t="e">
        <f t="shared" si="2"/>
        <v>#VALUE!</v>
      </c>
      <c r="H24" t="e">
        <f t="shared" si="3"/>
        <v>#VALUE!</v>
      </c>
    </row>
    <row r="25" spans="1:8" x14ac:dyDescent="0.2">
      <c r="A25" s="5" t="s">
        <v>151</v>
      </c>
      <c r="B25">
        <v>3</v>
      </c>
      <c r="C25" t="s">
        <v>153</v>
      </c>
      <c r="D25">
        <v>35.620869259999999</v>
      </c>
      <c r="E25">
        <f t="shared" si="4"/>
        <v>11.30934993</v>
      </c>
      <c r="F25">
        <f t="shared" si="5"/>
        <v>-3.4072755849999972</v>
      </c>
      <c r="G25">
        <f t="shared" si="2"/>
        <v>3.4072755849999972</v>
      </c>
      <c r="H25">
        <f t="shared" si="3"/>
        <v>11.609526912137072</v>
      </c>
    </row>
    <row r="26" spans="1:8" x14ac:dyDescent="0.2">
      <c r="A26" s="5" t="s">
        <v>151</v>
      </c>
      <c r="B26">
        <v>1</v>
      </c>
      <c r="C26" t="s">
        <v>154</v>
      </c>
      <c r="D26">
        <v>34.234553156666671</v>
      </c>
      <c r="E26">
        <f t="shared" si="4"/>
        <v>11.789257823333337</v>
      </c>
      <c r="F26">
        <f t="shared" si="5"/>
        <v>-2.9273676916666602</v>
      </c>
      <c r="G26">
        <f t="shared" si="2"/>
        <v>2.9273676916666602</v>
      </c>
      <c r="H26">
        <f t="shared" si="3"/>
        <v>8.5694816022137914</v>
      </c>
    </row>
    <row r="27" spans="1:8" x14ac:dyDescent="0.2">
      <c r="A27" s="5" t="s">
        <v>151</v>
      </c>
      <c r="B27">
        <v>1</v>
      </c>
      <c r="C27" t="s">
        <v>155</v>
      </c>
      <c r="D27">
        <v>39.107329589999999</v>
      </c>
      <c r="E27">
        <f t="shared" si="4"/>
        <v>13.983558439999999</v>
      </c>
      <c r="F27">
        <f t="shared" si="5"/>
        <v>-0.73306707499999746</v>
      </c>
      <c r="G27">
        <f t="shared" si="2"/>
        <v>0.73306707499999746</v>
      </c>
      <c r="H27">
        <f t="shared" si="3"/>
        <v>0.5373873364490519</v>
      </c>
    </row>
    <row r="28" spans="1:8" x14ac:dyDescent="0.2">
      <c r="A28" s="5" t="s">
        <v>151</v>
      </c>
      <c r="B28">
        <v>2</v>
      </c>
      <c r="C28" t="s">
        <v>155</v>
      </c>
      <c r="D28">
        <v>38.6484649</v>
      </c>
      <c r="E28">
        <f t="shared" si="4"/>
        <v>15.440012960000001</v>
      </c>
      <c r="F28">
        <f t="shared" si="5"/>
        <v>0.72338744500000374</v>
      </c>
      <c r="G28">
        <f t="shared" si="2"/>
        <v>-0.72338744500000374</v>
      </c>
      <c r="H28">
        <f t="shared" si="3"/>
        <v>0.52328939558363341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admin_2021-06-12 13-17-58_CT036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YinCY</cp:lastModifiedBy>
  <dcterms:created xsi:type="dcterms:W3CDTF">2021-06-12T08:34:24Z</dcterms:created>
  <dcterms:modified xsi:type="dcterms:W3CDTF">2021-06-12T08:51:13Z</dcterms:modified>
</cp:coreProperties>
</file>